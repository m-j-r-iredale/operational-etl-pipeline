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https://d.docs.live.net/746c1db071a52a7e/Desktop/CAF Prototype/Audit ETL/"/>
    </mc:Choice>
  </mc:AlternateContent>
  <xr:revisionPtr revIDLastSave="10003" documentId="8_{B5703380-703B-4707-B78D-9D8CA98FFF1F}" xr6:coauthVersionLast="47" xr6:coauthVersionMax="47" xr10:uidLastSave="{B156FF8B-0467-4350-82CB-34DA39C7EB01}"/>
  <bookViews>
    <workbookView xWindow="-120" yWindow="-120" windowWidth="29040" windowHeight="15720" xr2:uid="{00000000-000D-0000-FFFF-FFFF00000000}"/>
  </bookViews>
  <sheets>
    <sheet name="Audit Log" sheetId="3"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2" i="3" l="1"/>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3" i="3"/>
  <c r="J5" i="3"/>
  <c r="J6" i="3"/>
  <c r="J7" i="3"/>
  <c r="J8" i="3"/>
  <c r="J9" i="3"/>
  <c r="J10" i="3"/>
  <c r="J11" i="3"/>
  <c r="J2" i="3"/>
</calcChain>
</file>

<file path=xl/sharedStrings.xml><?xml version="1.0" encoding="utf-8"?>
<sst xmlns="http://schemas.openxmlformats.org/spreadsheetml/2006/main" count="411" uniqueCount="198">
  <si>
    <t>AB</t>
  </si>
  <si>
    <t>CD</t>
  </si>
  <si>
    <t>EF</t>
  </si>
  <si>
    <t>GH</t>
  </si>
  <si>
    <t>JK</t>
  </si>
  <si>
    <t>LM</t>
  </si>
  <si>
    <t>NP</t>
  </si>
  <si>
    <t>QR</t>
  </si>
  <si>
    <t>ST</t>
  </si>
  <si>
    <t>VW</t>
  </si>
  <si>
    <t>Account Number</t>
  </si>
  <si>
    <t>10458273 61840592</t>
  </si>
  <si>
    <t>2901746</t>
  </si>
  <si>
    <t>83056142</t>
  </si>
  <si>
    <t>4719305</t>
  </si>
  <si>
    <t>65821409 74286135 29160487</t>
  </si>
  <si>
    <t>7215483</t>
  </si>
  <si>
    <t>30591764</t>
  </si>
  <si>
    <t>9842137</t>
  </si>
  <si>
    <t>56309218 80517426 43719062 91825034</t>
  </si>
  <si>
    <t>1427685</t>
  </si>
  <si>
    <t>87530149</t>
  </si>
  <si>
    <t>3168402</t>
  </si>
  <si>
    <t>69025713 31968475 74250816 16593028 80427156</t>
  </si>
  <si>
    <t>5281946</t>
  </si>
  <si>
    <t>43781205</t>
  </si>
  <si>
    <t>7613509</t>
  </si>
  <si>
    <t>24968031 57021684</t>
  </si>
  <si>
    <t>9157248</t>
  </si>
  <si>
    <t>38419057</t>
  </si>
  <si>
    <t>6027314</t>
  </si>
  <si>
    <t>71380526 92846107 35179064</t>
  </si>
  <si>
    <t>1584927</t>
  </si>
  <si>
    <t>94627130</t>
  </si>
  <si>
    <t>5318064</t>
  </si>
  <si>
    <t>26794518 64130852 79042613 31586724</t>
  </si>
  <si>
    <t>8043167</t>
  </si>
  <si>
    <t>39572841</t>
  </si>
  <si>
    <t>6721503</t>
  </si>
  <si>
    <t>18463952 79302516 54087129 28641370 91506248</t>
  </si>
  <si>
    <t>7502816</t>
  </si>
  <si>
    <t>62941708</t>
  </si>
  <si>
    <t>4138652</t>
  </si>
  <si>
    <t>85720491 40672835</t>
  </si>
  <si>
    <t>2765318</t>
  </si>
  <si>
    <t>54179263</t>
  </si>
  <si>
    <t>9381045</t>
  </si>
  <si>
    <t>32068417 51829640 76390512</t>
  </si>
  <si>
    <t>7652193</t>
  </si>
  <si>
    <t>19850746</t>
  </si>
  <si>
    <t>4827315</t>
  </si>
  <si>
    <t>70614329 86250714 43096128 17582463</t>
  </si>
  <si>
    <t>2519684</t>
  </si>
  <si>
    <t>86932510</t>
  </si>
  <si>
    <t>3478126</t>
  </si>
  <si>
    <t>59247018 34768120 80623541 21475936 96810327</t>
  </si>
  <si>
    <t>8136592</t>
  </si>
  <si>
    <t>42519073</t>
  </si>
  <si>
    <t>6802471</t>
  </si>
  <si>
    <t>42519073 90163428</t>
  </si>
  <si>
    <t>1573048</t>
  </si>
  <si>
    <t>Date Received</t>
  </si>
  <si>
    <t>Account Name</t>
  </si>
  <si>
    <t>Type of Audit (Paper or Portal)</t>
  </si>
  <si>
    <t>Audit or Change of Auditor</t>
  </si>
  <si>
    <t>Allocated to</t>
  </si>
  <si>
    <t>Description of Request (keep it short)</t>
  </si>
  <si>
    <t>Status</t>
  </si>
  <si>
    <t>If 'Returned', why?</t>
  </si>
  <si>
    <t>bright PAth commuNity trusT</t>
  </si>
  <si>
    <t>Portal</t>
  </si>
  <si>
    <t>Audit</t>
  </si>
  <si>
    <t>Review annual audit documents and confirm supporting evidence.</t>
  </si>
  <si>
    <t>Completed</t>
  </si>
  <si>
    <t>HarbouR hope fOUNdaTion</t>
  </si>
  <si>
    <t>Change of Auditor</t>
  </si>
  <si>
    <t>Confirm auditor details and process the requested account review.</t>
  </si>
  <si>
    <t>greEN lAnTeRN ouTREAch</t>
  </si>
  <si>
    <t>Check supporting evidence and update the audit record as required.</t>
  </si>
  <si>
    <t>More Information or ID Needed</t>
  </si>
  <si>
    <t>kIndRed HaNds neTwORk</t>
  </si>
  <si>
    <t>nEw DAWn SuppORt COLLEctivE</t>
  </si>
  <si>
    <t>Check submitted records against the account information provided.</t>
  </si>
  <si>
    <t>SIlvER OAK COmmuNiTy fUnD</t>
  </si>
  <si>
    <t>Validate account details and supporting paperwork for the audit request.</t>
  </si>
  <si>
    <t>OpeN dOOr nEiGhBouRhooD tRUSt</t>
  </si>
  <si>
    <t>Paper</t>
  </si>
  <si>
    <t>Review paper audit submission and record any missing information.</t>
  </si>
  <si>
    <t>blueBIrd welLbeInG foUNDation</t>
  </si>
  <si>
    <t>Returned</t>
  </si>
  <si>
    <t>The submission was returned because key supporting documents were missing or incomplete. The customer was asked to provide the required evidence and resubmit the request for review. Further informatio</t>
  </si>
  <si>
    <t>SUnrise fuTUrEs cHaRItY</t>
  </si>
  <si>
    <t>Review change-of-auditor request and verify the supplied documentation.</t>
  </si>
  <si>
    <t>Referred to Another Team</t>
  </si>
  <si>
    <t>BRIdgEWAY commUnIty alliANcE</t>
  </si>
  <si>
    <t>The request was returned because the account details did not match the supporting paperwork. Updated documents and confirmation of the correct account information were requested. Further information i</t>
  </si>
  <si>
    <t>BRIghT PaTH cOMMunITy tRUST</t>
  </si>
  <si>
    <t>hARBoUr HOPE FOUNDAtIoN</t>
  </si>
  <si>
    <t>GReEn LANTeRN OUTreacH</t>
  </si>
  <si>
    <t>KIndrEd hAndS NetwoRK</t>
  </si>
  <si>
    <t>nEW dAWN sUPport ColLeCTive</t>
  </si>
  <si>
    <t>Validate portal audit pack and confirm all required documents are present.</t>
  </si>
  <si>
    <t>sIlVER oAk CommUNITY FunD</t>
  </si>
  <si>
    <t>opEn dOOr NEIghBoUrHoOD trust</t>
  </si>
  <si>
    <t>The audit pack was returned because mandatory sections were incomplete and the evidence supplied could not be verified. The customer was asked to correct the form and resubmit it. Further information</t>
  </si>
  <si>
    <t>BlUebirD WeLlBeING foUNDaTIoN</t>
  </si>
  <si>
    <t>Assess the audit submission and confirm whether further evidence is needed.</t>
  </si>
  <si>
    <t>sUNRiSe fUtUrEs CHAriTy</t>
  </si>
  <si>
    <t>brIdgeway coMMuNitY AllIaNce</t>
  </si>
  <si>
    <t>bRIGHt paTh cOMmUNIty TrUsT</t>
  </si>
  <si>
    <t>HaRbour HoPe FoUNDaTIoN</t>
  </si>
  <si>
    <t>grEEn LanTeRn OuTREaCH</t>
  </si>
  <si>
    <t>kINDreD Hands NeTWorK</t>
  </si>
  <si>
    <t>nEw dAWn SupPORT colLECTive</t>
  </si>
  <si>
    <t>Review customer documentation and complete the standard audit checks.</t>
  </si>
  <si>
    <t>sIlvEr oAK CoMmuniTY FuNd</t>
  </si>
  <si>
    <t>oPEn DOOR NEIgHBourHOod trUst</t>
  </si>
  <si>
    <t>bLUeBIRd wELlBEinG FoundATioN</t>
  </si>
  <si>
    <t>SuNRIse fuTurEs CHaritY</t>
  </si>
  <si>
    <t>bRiDGEWaY COmMUNITY aLlIAncE</t>
  </si>
  <si>
    <t>The case was returned because the information provided was insufficient to complete the audit checks. Additional identification and supporting account documentation were requested. Further information</t>
  </si>
  <si>
    <t>BRIghT PATH coMmunitY tRuSt</t>
  </si>
  <si>
    <t>HarBOur hoPe FOunDAtIOn</t>
  </si>
  <si>
    <t>grEen lANTErN OUTReacH</t>
  </si>
  <si>
    <t>KiNdReD HANdS neTWOrK</t>
  </si>
  <si>
    <t>new daWN sUppoRT cOLleCTIVE</t>
  </si>
  <si>
    <t>siLvER oAk COMmuNiTY fuNd</t>
  </si>
  <si>
    <t>OPeN Door neigHBOUrhOOD TRuSt</t>
  </si>
  <si>
    <t>bLUeBIrD weLlbeiNG fouNdATiON</t>
  </si>
  <si>
    <t>sUnRIse FUtuRES ChAriTy</t>
  </si>
  <si>
    <t>BriDgEwAY COmmUnITY ALLiAnCe</t>
  </si>
  <si>
    <t>bRIGHT patH comMUNitY tRuSt</t>
  </si>
  <si>
    <t>harBOUr HoPe fOunDAtIon</t>
  </si>
  <si>
    <t>Green LantErN OUtrEach</t>
  </si>
  <si>
    <t>kiNDREd hANdS nETwoRk</t>
  </si>
  <si>
    <t>new DaWN SuPport COlLecTIVE</t>
  </si>
  <si>
    <t>SIlVER OaK cOmMuniTy Fund</t>
  </si>
  <si>
    <t>oPEn dOOR nEIghBoURhOod tRUSt</t>
  </si>
  <si>
    <t>bLUeBIRd weLlBEiNG fOundATion</t>
  </si>
  <si>
    <t>sUnRIsE fUTUreS cHARITY</t>
  </si>
  <si>
    <t>BRiDGEwAY CoMmUNITy AllIanCE</t>
  </si>
  <si>
    <t>Date Process Completed</t>
  </si>
  <si>
    <t>Date Process Started</t>
  </si>
  <si>
    <t>Total Days to Complete</t>
  </si>
  <si>
    <t>UUID</t>
  </si>
  <si>
    <t>AUD-202607-9c19d126-cec2-4940-a6c9-abbc53d44823</t>
  </si>
  <si>
    <t>AUD-202607-d747aa78-612f-46ea-b27a-381d705ca0eb</t>
  </si>
  <si>
    <t>AUD-202607-29701c37-12b5-470b-acf3-208ab6d09f1c</t>
  </si>
  <si>
    <t>AUD-202607-ad224106-1bc1-4d10-bd7c-3743fa4029c4</t>
  </si>
  <si>
    <t>AUD-202607-45443d3a-2c30-4a7c-8b7e-ad34ac4a075f</t>
  </si>
  <si>
    <t>AUD-202607-a61771a1-9fc3-4b57-9d1f-865c79432da2</t>
  </si>
  <si>
    <t>AUD-202607-d20f57b3-a3a2-4efa-a1fb-b2579bdccdfa</t>
  </si>
  <si>
    <t>AUD-202607-36a98fe1-7e5b-432d-8655-fb1070ecde97</t>
  </si>
  <si>
    <t>AUD-202607-408dbb88-10e4-479c-9482-45ba10a2aeff</t>
  </si>
  <si>
    <t>AUD-202607-5a482769-032f-4964-959a-ad24783e644e</t>
  </si>
  <si>
    <t>AUD-202607-6131299f-0974-4ed3-9bba-33c180ac96e7</t>
  </si>
  <si>
    <t>AUD-202607-8e255ef4-2144-4953-8954-36857be3ab6c</t>
  </si>
  <si>
    <t>AUD-202607-8eee8258-fc9d-4d03-bacf-3d32f45f5a68</t>
  </si>
  <si>
    <t>AUD-202607-15c9e58e-cbfb-4825-8f7a-67aa0090b171</t>
  </si>
  <si>
    <t>AUD-202607-bc64a05e-d90a-4c49-8e8a-44d35734d03b</t>
  </si>
  <si>
    <t>AUD-202607-142e3f30-99b4-44a7-999b-e5b613e7c720</t>
  </si>
  <si>
    <t>AUD-202607-5f66dc22-4eea-4702-9d3f-d427bb478668</t>
  </si>
  <si>
    <t>AUD-202607-3da0b4d4-49fd-49a5-a59c-e545fa74691d</t>
  </si>
  <si>
    <t>AUD-202607-0035f1e0-2d0b-4627-98bf-0924f7fc7348</t>
  </si>
  <si>
    <t>AUD-202607-4c98f02c-b16b-4362-ba2d-85d6a2a2f361</t>
  </si>
  <si>
    <t>AUD-202607-04b6d0ea-e5e5-4950-8eba-2ebfe4d7eb1a</t>
  </si>
  <si>
    <t>AUD-202607-4d3dd8e4-fc4a-4186-81d5-c5ce43302ec3</t>
  </si>
  <si>
    <t>AUD-202607-734d6c75-6290-4e1a-b373-3586a67ea27c</t>
  </si>
  <si>
    <t>AUD-202607-30c63a68-ded9-462d-9630-f6bc4a7bf630</t>
  </si>
  <si>
    <t>AUD-202607-bf2071dd-fbf0-4f61-bbf8-c56afada53e8</t>
  </si>
  <si>
    <t>AUD-202607-1778fa8d-646b-4718-9436-5a5720a50726</t>
  </si>
  <si>
    <t>AUD-202607-fa5cf918-5bb0-4359-80c5-d2173e3accf4</t>
  </si>
  <si>
    <t>AUD-202607-60ada726-44c6-4030-8690-57ae83a4ee44</t>
  </si>
  <si>
    <t>AUD-202607-44bf5b55-b17d-40b9-8087-b10d56ed5534</t>
  </si>
  <si>
    <t>AUD-202607-7b70cd0b-01fe-472f-80fa-213ae086243a</t>
  </si>
  <si>
    <t>AUD-202607-b5694c7d-7cc3-4ac7-8bf6-135c07316641</t>
  </si>
  <si>
    <t>AUD-202607-cf7547fb-8097-452d-98eb-192c1800700c</t>
  </si>
  <si>
    <t>AUD-202607-70935acb-284b-4771-bf4b-411d53322144</t>
  </si>
  <si>
    <t>AUD-202607-621f6604-8e7a-4933-beda-e3996c43a390</t>
  </si>
  <si>
    <t>AUD-202607-91fd6937-c611-4bee-bdc4-c66b12da73cf</t>
  </si>
  <si>
    <t>AUD-202607-22e3f1f4-70b1-446f-9ce6-ad1a88013bd9</t>
  </si>
  <si>
    <t>AUD-202607-a0b94511-eb11-458d-a7e0-c511955ebb6a</t>
  </si>
  <si>
    <t>AUD-202607-bfbd444f-3e9d-4e8f-ba11-c417ef46a392</t>
  </si>
  <si>
    <t>AUD-202607-eeb01634-449b-4a12-9a14-8f0790d301ea</t>
  </si>
  <si>
    <t>AUD-202607-ba161166-ad57-469e-b398-716cb3582d93</t>
  </si>
  <si>
    <t>AUD-202607-19b1a139-c738-4d56-b250-0b42357e58a3</t>
  </si>
  <si>
    <t>AUD-202607-8d954eed-e607-496c-9d8e-fdeb0f3cbc63</t>
  </si>
  <si>
    <t>AUD-202607-45ff1434-dcd5-48ad-bfc0-8a62e7ea236e</t>
  </si>
  <si>
    <t>AUD-202607-720757b7-a696-4ac6-89fa-eb1cee220a97</t>
  </si>
  <si>
    <t>AUD-202607-f308bc4e-7af4-48c6-af5a-76743214cab0</t>
  </si>
  <si>
    <t>AUD-202607-a6c75282-2b68-4b1e-8b9a-498efbd6680b</t>
  </si>
  <si>
    <t>AUD-202607-d92cc6f1-276b-457f-b565-5a4c2f13044d</t>
  </si>
  <si>
    <t>AUD-202607-6c8cec5f-0534-4b78-8de7-6bf690b3d95f</t>
  </si>
  <si>
    <t>AUD-202607-d13e242d-2447-4e5f-ace8-10df0cfe18f5</t>
  </si>
  <si>
    <t>AUD-202607-2011e5ec-be77-4b9e-99d0-467b1fa48a75</t>
  </si>
  <si>
    <t>AUD-202607-53c49048-8553-4af8-b241-264461b6736b</t>
  </si>
  <si>
    <t>AUD-202607-bd6b5115-425c-4b7c-a391-879292d06a0b</t>
  </si>
  <si>
    <t>AUD-202607-846fbf45-4d97-4783-8956-5af95779eb6c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</si>
</sst>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1"/>
      <name val="Carlito"/>
    </font>
    <font>
      <b/>
      <sz val="11"/>
      <color rgb="FFFFFFFF"/>
      <name val="Carlito"/>
    </font>
  </fonts>
  <fills count="3">
    <fill>
      <patternFill patternType="none"/>
    </fill>
    <fill>
      <patternFill patternType="gray125"/>
    </fill>
    <fill>
      <patternFill patternType="solid">
        <fgColor rgb="FF1F4E78"/>
      </patternFill>
    </fill>
  </fills>
  <borders count="1">
    <border>
      <left/>
      <right/>
      <top/>
      <bottom/>
      <diagonal/>
    </border>
  </borders>
  <cellStyleXfs count="1">
    <xf numFmtId="0" fontId="0" fillId="0" borderId="0"/>
  </cellStyleXfs>
  <cellXfs count="8">
    <xf numFmtId="0" fontId="0" fillId="0" borderId="0" xfId="0"/>
    <xf numFmtId="0" fontId="1" fillId="2" borderId="0" xfId="0" applyFont="1" applyFill="1" applyAlignment="1">
      <alignment horizontal="center" vertical="top" wrapText="1"/>
    </xf>
    <xf numFmtId="0" fontId="0" fillId="0" borderId="0" xfId="0" applyAlignment="1">
      <alignment vertical="top"/>
    </xf>
    <xf numFmtId="14" fontId="0" fillId="0" borderId="0" xfId="0" applyNumberFormat="1" applyAlignment="1">
      <alignment vertical="top"/>
    </xf>
    <xf numFmtId="49" fontId="0" fillId="0" borderId="0" xfId="0" applyNumberFormat="1" applyAlignment="1">
      <alignment vertical="top"/>
    </xf>
    <xf numFmtId="1" fontId="0" fillId="0" borderId="0" xfId="0" applyNumberFormat="1" applyAlignment="1">
      <alignment vertical="top"/>
    </xf>
    <xf numFmtId="0" fontId="0" fillId="0" borderId="0" xfId="0" applyAlignment="1">
      <alignment vertical="top" wrapText="1"/>
    </xf>
    <xf numFmtId="49" fontId="0" fillId="0" borderId="0" xfId="0" applyNumberFormat="1"/>
  </cellXfs>
  <cellStyles count="1">
    <cellStyle name="Normal" xfId="0" builtinId="0"/>
  </cellStyles>
  <dxfs count="6">
    <dxf>
      <fill>
        <patternFill patternType="solid">
          <bgColor rgb="FFD9EAF7"/>
        </patternFill>
      </fill>
    </dxf>
    <dxf>
      <fill>
        <patternFill patternType="solid">
          <bgColor rgb="FFFFF2CC"/>
        </patternFill>
      </fill>
    </dxf>
    <dxf>
      <fill>
        <patternFill patternType="solid">
          <bgColor rgb="FFFCE4D6"/>
        </patternFill>
      </fill>
    </dxf>
    <dxf>
      <fill>
        <patternFill patternType="solid">
          <bgColor rgb="FFE2F0D9"/>
        </patternFill>
      </fill>
    </dxf>
    <dxf>
      <numFmt numFmtId="1" formatCode="0"/>
    </dxf>
    <dxf>
      <numFmt numFmtId="19" formatCode="dd/mm/yyyy"/>
      <alignment horizontal="general"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AuditLogTable" displayName="AuditLogTable" ref="A1:M54" totalsRowShown="0">
  <autoFilter ref="A1:M54" xr:uid="{00000000-000C-0000-FFFF-FFFF02000000}"/>
  <tableColumns count="13">
    <tableColumn id="1" xr3:uid="{00000000-0010-0000-0200-000001000000}" name="Date Received"/>
    <tableColumn id="2" xr3:uid="{00000000-0010-0000-0200-000002000000}" name="Account Number"/>
    <tableColumn id="3" xr3:uid="{00000000-0010-0000-0200-000003000000}" name="Account Name"/>
    <tableColumn id="4" xr3:uid="{00000000-0010-0000-0200-000004000000}" name="Type of Audit (Paper or Portal)"/>
    <tableColumn id="5" xr3:uid="{00000000-0010-0000-0200-000005000000}" name="Audit or Change of Auditor"/>
    <tableColumn id="6" xr3:uid="{00000000-0010-0000-0200-000006000000}" name="Allocated to"/>
    <tableColumn id="12" xr3:uid="{39773749-DBBE-4EBB-848A-4CF78537137C}" name="Date Process Started" dataDxfId="5"/>
    <tableColumn id="7" xr3:uid="{00000000-0010-0000-0200-000007000000}" name="Description of Request (keep it short)"/>
    <tableColumn id="8" xr3:uid="{00000000-0010-0000-0200-000008000000}" name="Date Process Completed"/>
    <tableColumn id="9" xr3:uid="{00000000-0010-0000-0200-000009000000}" name="Total Days to Complete" dataDxfId="4">
      <calculatedColumnFormula>IF(I2="","",NETWORKDAYS(A2,I2)-1)</calculatedColumnFormula>
    </tableColumn>
    <tableColumn id="10" xr3:uid="{00000000-0010-0000-0200-00000A000000}" name="Status"/>
    <tableColumn id="11" xr3:uid="{00000000-0010-0000-0200-00000B000000}" name="If 'Returned', why?"/>
    <tableColumn id="13" xr3:uid="{48C7FEA8-6E47-4265-9B87-00EBBB242058}" name="UUID"/>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54"/>
  <sheetViews>
    <sheetView tabSelected="1" topLeftCell="A45" workbookViewId="0">
      <selection activeCell="B47" sqref="B47"/>
    </sheetView>
  </sheetViews>
  <sheetFormatPr defaultRowHeight="14.25"/>
  <cols>
    <col min="1" max="1" width="14" customWidth="1"/>
    <col min="2" max="2" width="42" customWidth="1"/>
    <col min="3" max="3" width="34" customWidth="1"/>
    <col min="4" max="4" width="22" customWidth="1"/>
    <col min="5" max="5" width="24" customWidth="1"/>
    <col min="6" max="6" width="12" customWidth="1"/>
    <col min="7" max="7" width="17.25" customWidth="1"/>
    <col min="8" max="8" width="38" customWidth="1"/>
    <col min="9" max="9" width="14" customWidth="1"/>
    <col min="10" max="10" width="20" customWidth="1"/>
    <col min="11" max="11" width="28" customWidth="1"/>
    <col min="12" max="12" width="42" customWidth="1"/>
    <col min="13" max="13" width="47.5" bestFit="1" customWidth="1"/>
  </cols>
  <sheetData>
    <row r="1" spans="1:13" ht="30.4" customHeight="1">
      <c r="A1" s="1" t="s">
        <v>61</v>
      </c>
      <c r="B1" s="1" t="s">
        <v>10</v>
      </c>
      <c r="C1" s="1" t="s">
        <v>62</v>
      </c>
      <c r="D1" s="1" t="s">
        <v>63</v>
      </c>
      <c r="E1" s="1" t="s">
        <v>64</v>
      </c>
      <c r="F1" s="1" t="s">
        <v>65</v>
      </c>
      <c r="G1" s="1" t="s">
        <v>142</v>
      </c>
      <c r="H1" s="1" t="s">
        <v>66</v>
      </c>
      <c r="I1" s="1" t="s">
        <v>141</v>
      </c>
      <c r="J1" s="1" t="s">
        <v>143</v>
      </c>
      <c r="K1" s="1" t="s">
        <v>67</v>
      </c>
      <c r="L1" s="1" t="s">
        <v>68</v>
      </c>
      <c r="M1" s="1" t="s">
        <v>144</v>
      </c>
    </row>
    <row r="2" spans="1:13" ht="28.5">
      <c r="A2" s="3">
        <v>46227</v>
      </c>
      <c r="B2" s="4" t="s">
        <v>11</v>
      </c>
      <c r="C2" s="2" t="s">
        <v>69</v>
      </c>
      <c r="D2" s="2" t="s">
        <v>70</v>
      </c>
      <c r="E2" s="2" t="s">
        <v>71</v>
      </c>
      <c r="F2" s="2" t="s">
        <v>4</v>
      </c>
      <c r="G2" s="3">
        <v>46233</v>
      </c>
      <c r="H2" s="6" t="s">
        <v>72</v>
      </c>
      <c r="I2" s="3">
        <v>46233</v>
      </c>
      <c r="J2" s="5">
        <f>IF(I2="","",NETWORKDAYS(A2,I2)-1)</f>
        <v>4</v>
      </c>
      <c r="K2" s="2" t="s">
        <v>73</v>
      </c>
      <c r="L2" s="6"/>
      <c r="M2" s="7" t="s">
        <v>145</v>
      </c>
    </row>
    <row r="3" spans="1:13" ht="28.5">
      <c r="A3" s="3">
        <v>46230</v>
      </c>
      <c r="B3" s="4" t="s">
        <v>12</v>
      </c>
      <c r="C3" s="2" t="s">
        <v>74</v>
      </c>
      <c r="D3" s="2" t="s">
        <v>70</v>
      </c>
      <c r="E3" s="2" t="s">
        <v>75</v>
      </c>
      <c r="F3" s="2" t="s">
        <v>9</v>
      </c>
      <c r="G3" s="3">
        <v>46236</v>
      </c>
      <c r="H3" s="6" t="s">
        <v>76</v>
      </c>
      <c r="I3" s="3">
        <v>46236</v>
      </c>
      <c r="J3" s="5">
        <f t="shared" ref="J3:J54" si="0">IF(I3="","",NETWORKDAYS(A3,I3)-1)</f>
        <v>4</v>
      </c>
      <c r="K3" s="2" t="s">
        <v>73</v>
      </c>
      <c r="L3" s="6"/>
      <c r="M3" s="7" t="s">
        <v>146</v>
      </c>
    </row>
    <row r="4" spans="1:13" ht="28.5">
      <c r="A4" s="3">
        <v>46215</v>
      </c>
      <c r="B4" s="4" t="s">
        <v>13</v>
      </c>
      <c r="C4" s="2" t="s">
        <v>77</v>
      </c>
      <c r="D4" s="2" t="s">
        <v>70</v>
      </c>
      <c r="E4" s="2" t="s">
        <v>71</v>
      </c>
      <c r="F4" s="2" t="s">
        <v>6</v>
      </c>
      <c r="G4" s="3">
        <v>46225</v>
      </c>
      <c r="H4" s="6" t="s">
        <v>78</v>
      </c>
      <c r="I4" s="3">
        <v>46226</v>
      </c>
      <c r="J4" s="5"/>
      <c r="K4" s="2" t="s">
        <v>79</v>
      </c>
      <c r="L4" s="6"/>
      <c r="M4" s="7" t="s">
        <v>147</v>
      </c>
    </row>
    <row r="5" spans="1:13" ht="28.5">
      <c r="A5" s="3">
        <v>46219</v>
      </c>
      <c r="B5" s="4" t="s">
        <v>14</v>
      </c>
      <c r="C5" s="2" t="s">
        <v>80</v>
      </c>
      <c r="D5" s="2" t="s">
        <v>70</v>
      </c>
      <c r="E5" s="2" t="s">
        <v>75</v>
      </c>
      <c r="F5" s="2" t="s">
        <v>3</v>
      </c>
      <c r="G5" s="3">
        <v>46229</v>
      </c>
      <c r="H5" s="6" t="s">
        <v>72</v>
      </c>
      <c r="I5" s="3">
        <v>46229</v>
      </c>
      <c r="J5" s="5">
        <f t="shared" si="0"/>
        <v>6</v>
      </c>
      <c r="K5" s="2" t="s">
        <v>73</v>
      </c>
      <c r="L5" s="6"/>
      <c r="M5" s="7" t="s">
        <v>148</v>
      </c>
    </row>
    <row r="6" spans="1:13" ht="28.5">
      <c r="A6" s="3">
        <v>46207</v>
      </c>
      <c r="B6" s="4" t="s">
        <v>15</v>
      </c>
      <c r="C6" s="2" t="s">
        <v>81</v>
      </c>
      <c r="D6" s="2" t="s">
        <v>70</v>
      </c>
      <c r="E6" s="2" t="s">
        <v>71</v>
      </c>
      <c r="F6" s="2" t="s">
        <v>2</v>
      </c>
      <c r="G6" s="3"/>
      <c r="H6" s="6" t="s">
        <v>82</v>
      </c>
      <c r="I6" s="3"/>
      <c r="J6" s="5" t="str">
        <f t="shared" si="0"/>
        <v/>
      </c>
      <c r="K6" s="2" t="s">
        <v>79</v>
      </c>
      <c r="L6" s="6"/>
      <c r="M6" s="7" t="s">
        <v>149</v>
      </c>
    </row>
    <row r="7" spans="1:13" ht="28.5">
      <c r="A7" s="3">
        <v>46216</v>
      </c>
      <c r="B7" s="4" t="s">
        <v>16</v>
      </c>
      <c r="C7" s="2" t="s">
        <v>83</v>
      </c>
      <c r="D7" s="2" t="s">
        <v>70</v>
      </c>
      <c r="E7" s="2" t="s">
        <v>75</v>
      </c>
      <c r="F7" s="2" t="s">
        <v>3</v>
      </c>
      <c r="G7" s="3">
        <v>46221</v>
      </c>
      <c r="H7" s="6" t="s">
        <v>84</v>
      </c>
      <c r="I7" s="3">
        <v>46221</v>
      </c>
      <c r="J7" s="5">
        <f t="shared" si="0"/>
        <v>4</v>
      </c>
      <c r="K7" s="2" t="s">
        <v>73</v>
      </c>
      <c r="L7" s="6"/>
      <c r="M7" s="7" t="s">
        <v>150</v>
      </c>
    </row>
    <row r="8" spans="1:13" ht="28.5">
      <c r="A8" s="3">
        <v>46199</v>
      </c>
      <c r="B8" s="4" t="s">
        <v>17</v>
      </c>
      <c r="C8" s="2" t="s">
        <v>85</v>
      </c>
      <c r="D8" s="2" t="s">
        <v>86</v>
      </c>
      <c r="E8" s="2" t="s">
        <v>75</v>
      </c>
      <c r="F8" s="2" t="s">
        <v>4</v>
      </c>
      <c r="G8" s="3">
        <v>46206</v>
      </c>
      <c r="H8" s="6" t="s">
        <v>87</v>
      </c>
      <c r="I8" s="3"/>
      <c r="J8" s="5" t="str">
        <f t="shared" si="0"/>
        <v/>
      </c>
      <c r="K8" s="2" t="s">
        <v>79</v>
      </c>
      <c r="L8" s="6"/>
      <c r="M8" s="7" t="s">
        <v>151</v>
      </c>
    </row>
    <row r="9" spans="1:13" ht="71.25">
      <c r="A9" s="3">
        <v>46231</v>
      </c>
      <c r="B9" s="4" t="s">
        <v>18</v>
      </c>
      <c r="C9" s="2" t="s">
        <v>88</v>
      </c>
      <c r="D9" s="2" t="s">
        <v>86</v>
      </c>
      <c r="E9" s="2" t="s">
        <v>71</v>
      </c>
      <c r="F9" s="2" t="s">
        <v>1</v>
      </c>
      <c r="G9" s="3">
        <v>46245</v>
      </c>
      <c r="H9" s="6" t="s">
        <v>82</v>
      </c>
      <c r="I9" s="3">
        <v>46245</v>
      </c>
      <c r="J9" s="5">
        <f t="shared" si="0"/>
        <v>10</v>
      </c>
      <c r="K9" s="2" t="s">
        <v>89</v>
      </c>
      <c r="L9" s="6" t="s">
        <v>90</v>
      </c>
      <c r="M9" s="7" t="s">
        <v>152</v>
      </c>
    </row>
    <row r="10" spans="1:13">
      <c r="A10" s="3"/>
      <c r="B10" s="4"/>
      <c r="C10" s="2"/>
      <c r="D10" s="2"/>
      <c r="E10" s="2"/>
      <c r="F10" s="2"/>
      <c r="G10" s="3"/>
      <c r="H10" s="6"/>
      <c r="I10" s="3"/>
      <c r="J10" s="5" t="str">
        <f t="shared" si="0"/>
        <v/>
      </c>
      <c r="K10" s="2"/>
      <c r="L10" s="6"/>
      <c r="M10" s="7" t="s">
        <v>153</v>
      </c>
    </row>
    <row r="11" spans="1:13" ht="28.5">
      <c r="A11" s="3">
        <v>46228</v>
      </c>
      <c r="B11" s="4" t="s">
        <v>19</v>
      </c>
      <c r="C11" s="2" t="s">
        <v>91</v>
      </c>
      <c r="D11" s="2" t="s">
        <v>86</v>
      </c>
      <c r="E11" s="2" t="s">
        <v>71</v>
      </c>
      <c r="F11" s="2" t="s">
        <v>2</v>
      </c>
      <c r="G11" s="3"/>
      <c r="H11" s="6" t="s">
        <v>92</v>
      </c>
      <c r="I11" s="3"/>
      <c r="J11" s="5" t="str">
        <f t="shared" si="0"/>
        <v/>
      </c>
      <c r="K11" s="2" t="s">
        <v>93</v>
      </c>
      <c r="L11" s="6"/>
      <c r="M11" s="7" t="s">
        <v>154</v>
      </c>
    </row>
    <row r="12" spans="1:13" ht="71.25">
      <c r="A12" s="3">
        <v>46234</v>
      </c>
      <c r="B12" s="4" t="s">
        <v>20</v>
      </c>
      <c r="C12" s="2" t="s">
        <v>94</v>
      </c>
      <c r="D12" s="2" t="s">
        <v>70</v>
      </c>
      <c r="E12" s="2" t="s">
        <v>71</v>
      </c>
      <c r="F12" s="2" t="s">
        <v>0</v>
      </c>
      <c r="G12" s="3">
        <v>46241</v>
      </c>
      <c r="H12" s="6" t="s">
        <v>78</v>
      </c>
      <c r="I12" s="3">
        <v>46241</v>
      </c>
      <c r="J12" s="5">
        <f t="shared" si="0"/>
        <v>5</v>
      </c>
      <c r="K12" s="2" t="s">
        <v>89</v>
      </c>
      <c r="L12" s="6" t="s">
        <v>95</v>
      </c>
      <c r="M12" s="7" t="s">
        <v>155</v>
      </c>
    </row>
    <row r="13" spans="1:13" ht="28.5">
      <c r="A13" s="3">
        <v>46211</v>
      </c>
      <c r="B13" s="4" t="s">
        <v>21</v>
      </c>
      <c r="C13" s="2" t="s">
        <v>96</v>
      </c>
      <c r="D13" s="2" t="s">
        <v>86</v>
      </c>
      <c r="E13" s="2" t="s">
        <v>71</v>
      </c>
      <c r="F13" s="2" t="s">
        <v>5</v>
      </c>
      <c r="G13" s="3"/>
      <c r="H13" s="6" t="s">
        <v>76</v>
      </c>
      <c r="I13" s="3"/>
      <c r="J13" s="5" t="str">
        <f t="shared" si="0"/>
        <v/>
      </c>
      <c r="K13" s="2" t="s">
        <v>79</v>
      </c>
      <c r="L13" s="6"/>
      <c r="M13" s="7" t="s">
        <v>156</v>
      </c>
    </row>
    <row r="14" spans="1:13" ht="28.5">
      <c r="A14" s="3">
        <v>46227</v>
      </c>
      <c r="B14" s="4" t="s">
        <v>22</v>
      </c>
      <c r="C14" s="2" t="s">
        <v>97</v>
      </c>
      <c r="D14" s="2" t="s">
        <v>86</v>
      </c>
      <c r="E14" s="2" t="s">
        <v>71</v>
      </c>
      <c r="F14" s="2" t="s">
        <v>6</v>
      </c>
      <c r="G14" s="3">
        <v>46239</v>
      </c>
      <c r="H14" s="6" t="s">
        <v>72</v>
      </c>
      <c r="I14" s="3"/>
      <c r="J14" s="5" t="str">
        <f t="shared" si="0"/>
        <v/>
      </c>
      <c r="K14" s="2" t="s">
        <v>93</v>
      </c>
      <c r="L14" s="6"/>
      <c r="M14" s="7" t="s">
        <v>157</v>
      </c>
    </row>
    <row r="15" spans="1:13" ht="28.5">
      <c r="A15" s="3">
        <v>46231</v>
      </c>
      <c r="B15" s="4" t="s">
        <v>23</v>
      </c>
      <c r="C15" s="2" t="s">
        <v>98</v>
      </c>
      <c r="D15" s="2" t="s">
        <v>70</v>
      </c>
      <c r="E15" s="2" t="s">
        <v>75</v>
      </c>
      <c r="F15" s="2" t="s">
        <v>7</v>
      </c>
      <c r="G15" s="3">
        <v>46244</v>
      </c>
      <c r="H15" s="6" t="s">
        <v>72</v>
      </c>
      <c r="I15" s="3">
        <v>46244</v>
      </c>
      <c r="J15" s="5">
        <f t="shared" si="0"/>
        <v>9</v>
      </c>
      <c r="K15" s="2" t="s">
        <v>73</v>
      </c>
      <c r="L15" s="6"/>
      <c r="M15" s="7" t="s">
        <v>158</v>
      </c>
    </row>
    <row r="16" spans="1:13" ht="28.5">
      <c r="A16" s="3">
        <v>46205</v>
      </c>
      <c r="B16" s="4" t="s">
        <v>24</v>
      </c>
      <c r="C16" s="2" t="s">
        <v>99</v>
      </c>
      <c r="D16" s="2" t="s">
        <v>86</v>
      </c>
      <c r="E16" s="2" t="s">
        <v>75</v>
      </c>
      <c r="F16" s="2" t="s">
        <v>4</v>
      </c>
      <c r="G16" s="3"/>
      <c r="H16" s="6" t="s">
        <v>92</v>
      </c>
      <c r="I16" s="3"/>
      <c r="J16" s="5" t="str">
        <f t="shared" si="0"/>
        <v/>
      </c>
      <c r="K16" s="2" t="s">
        <v>93</v>
      </c>
      <c r="L16" s="6"/>
      <c r="M16" s="7" t="s">
        <v>159</v>
      </c>
    </row>
    <row r="17" spans="1:13" ht="28.5">
      <c r="A17" s="3">
        <v>46232</v>
      </c>
      <c r="B17" s="4" t="s">
        <v>25</v>
      </c>
      <c r="C17" s="2" t="s">
        <v>100</v>
      </c>
      <c r="D17" s="2" t="s">
        <v>70</v>
      </c>
      <c r="E17" s="2" t="s">
        <v>75</v>
      </c>
      <c r="F17" s="2" t="s">
        <v>8</v>
      </c>
      <c r="G17" s="3">
        <v>46247</v>
      </c>
      <c r="H17" s="6" t="s">
        <v>101</v>
      </c>
      <c r="I17" s="3"/>
      <c r="J17" s="5" t="str">
        <f t="shared" si="0"/>
        <v/>
      </c>
      <c r="K17" s="2" t="s">
        <v>93</v>
      </c>
      <c r="L17" s="6"/>
      <c r="M17" s="7" t="s">
        <v>160</v>
      </c>
    </row>
    <row r="18" spans="1:13" ht="28.5">
      <c r="A18" s="3">
        <v>46227</v>
      </c>
      <c r="B18" s="4" t="s">
        <v>26</v>
      </c>
      <c r="C18" s="2" t="s">
        <v>102</v>
      </c>
      <c r="D18" s="2" t="s">
        <v>70</v>
      </c>
      <c r="E18" s="2" t="s">
        <v>75</v>
      </c>
      <c r="F18" s="2" t="s">
        <v>2</v>
      </c>
      <c r="G18" s="3">
        <v>46233</v>
      </c>
      <c r="H18" s="6" t="s">
        <v>82</v>
      </c>
      <c r="I18" s="3"/>
      <c r="J18" s="5" t="str">
        <f t="shared" si="0"/>
        <v/>
      </c>
      <c r="K18" s="2" t="s">
        <v>93</v>
      </c>
      <c r="L18" s="6"/>
      <c r="M18" s="7" t="s">
        <v>161</v>
      </c>
    </row>
    <row r="19" spans="1:13" ht="71.25">
      <c r="A19" s="3">
        <v>46208</v>
      </c>
      <c r="B19" s="4" t="s">
        <v>27</v>
      </c>
      <c r="C19" s="2" t="s">
        <v>103</v>
      </c>
      <c r="D19" s="2" t="s">
        <v>70</v>
      </c>
      <c r="E19" s="2" t="s">
        <v>71</v>
      </c>
      <c r="F19" s="2" t="s">
        <v>5</v>
      </c>
      <c r="G19" s="3">
        <v>46223</v>
      </c>
      <c r="H19" s="6" t="s">
        <v>87</v>
      </c>
      <c r="I19" s="3">
        <v>46223</v>
      </c>
      <c r="J19" s="5">
        <f t="shared" si="0"/>
        <v>10</v>
      </c>
      <c r="K19" s="2" t="s">
        <v>89</v>
      </c>
      <c r="L19" s="6" t="s">
        <v>104</v>
      </c>
      <c r="M19" s="7" t="s">
        <v>162</v>
      </c>
    </row>
    <row r="20" spans="1:13" ht="28.5">
      <c r="A20" s="3">
        <v>46196</v>
      </c>
      <c r="B20" s="4" t="s">
        <v>28</v>
      </c>
      <c r="C20" s="2" t="s">
        <v>105</v>
      </c>
      <c r="D20" s="2" t="s">
        <v>70</v>
      </c>
      <c r="E20" s="2" t="s">
        <v>75</v>
      </c>
      <c r="F20" s="2" t="s">
        <v>7</v>
      </c>
      <c r="G20" s="3">
        <v>46198</v>
      </c>
      <c r="H20" s="6" t="s">
        <v>106</v>
      </c>
      <c r="I20" s="3">
        <v>46198</v>
      </c>
      <c r="J20" s="5">
        <f t="shared" si="0"/>
        <v>2</v>
      </c>
      <c r="K20" s="2" t="s">
        <v>73</v>
      </c>
      <c r="L20" s="6"/>
      <c r="M20" s="7" t="s">
        <v>163</v>
      </c>
    </row>
    <row r="21" spans="1:13" ht="28.5">
      <c r="A21" s="3">
        <v>46225</v>
      </c>
      <c r="B21" s="4" t="s">
        <v>29</v>
      </c>
      <c r="C21" s="2" t="s">
        <v>107</v>
      </c>
      <c r="D21" s="2" t="s">
        <v>70</v>
      </c>
      <c r="E21" s="2" t="s">
        <v>71</v>
      </c>
      <c r="F21" s="2" t="s">
        <v>6</v>
      </c>
      <c r="G21" s="3"/>
      <c r="H21" s="6" t="s">
        <v>106</v>
      </c>
      <c r="I21" s="3"/>
      <c r="J21" s="5" t="str">
        <f t="shared" si="0"/>
        <v/>
      </c>
      <c r="K21" s="2" t="s">
        <v>93</v>
      </c>
      <c r="L21" s="6"/>
      <c r="M21" s="7" t="s">
        <v>164</v>
      </c>
    </row>
    <row r="22" spans="1:13" ht="28.5">
      <c r="A22" s="3">
        <v>46219</v>
      </c>
      <c r="B22" s="4" t="s">
        <v>30</v>
      </c>
      <c r="C22" s="2" t="s">
        <v>108</v>
      </c>
      <c r="D22" s="2" t="s">
        <v>86</v>
      </c>
      <c r="E22" s="2" t="s">
        <v>71</v>
      </c>
      <c r="F22" s="2" t="s">
        <v>5</v>
      </c>
      <c r="G22" s="3">
        <v>46221</v>
      </c>
      <c r="H22" s="6" t="s">
        <v>92</v>
      </c>
      <c r="I22" s="3">
        <v>46221</v>
      </c>
      <c r="J22" s="5">
        <f t="shared" si="0"/>
        <v>1</v>
      </c>
      <c r="K22" s="2" t="s">
        <v>73</v>
      </c>
      <c r="L22" s="6"/>
      <c r="M22" s="7" t="s">
        <v>165</v>
      </c>
    </row>
    <row r="23" spans="1:13" ht="28.5">
      <c r="A23" s="3">
        <v>46220</v>
      </c>
      <c r="B23" s="4" t="s">
        <v>31</v>
      </c>
      <c r="C23" s="2" t="s">
        <v>109</v>
      </c>
      <c r="D23" s="2" t="s">
        <v>86</v>
      </c>
      <c r="E23" s="2" t="s">
        <v>75</v>
      </c>
      <c r="F23" s="2" t="s">
        <v>2</v>
      </c>
      <c r="G23" s="3">
        <v>46228</v>
      </c>
      <c r="H23" s="6" t="s">
        <v>72</v>
      </c>
      <c r="I23" s="3">
        <v>46228</v>
      </c>
      <c r="J23" s="5">
        <f t="shared" si="0"/>
        <v>5</v>
      </c>
      <c r="K23" s="2" t="s">
        <v>73</v>
      </c>
      <c r="L23" s="6"/>
      <c r="M23" s="7" t="s">
        <v>166</v>
      </c>
    </row>
    <row r="24" spans="1:13" ht="28.5">
      <c r="A24" s="3">
        <v>46210</v>
      </c>
      <c r="B24" s="4" t="s">
        <v>32</v>
      </c>
      <c r="C24" s="2" t="s">
        <v>110</v>
      </c>
      <c r="D24" s="2" t="s">
        <v>86</v>
      </c>
      <c r="E24" s="2" t="s">
        <v>75</v>
      </c>
      <c r="F24" s="2" t="s">
        <v>8</v>
      </c>
      <c r="G24" s="3"/>
      <c r="H24" s="6" t="s">
        <v>72</v>
      </c>
      <c r="I24" s="3"/>
      <c r="J24" s="5" t="str">
        <f t="shared" si="0"/>
        <v/>
      </c>
      <c r="K24" s="2" t="s">
        <v>93</v>
      </c>
      <c r="L24" s="6"/>
      <c r="M24" s="7" t="s">
        <v>167</v>
      </c>
    </row>
    <row r="25" spans="1:13" ht="28.5">
      <c r="A25" s="3">
        <v>46228</v>
      </c>
      <c r="B25" s="4" t="s">
        <v>33</v>
      </c>
      <c r="C25" s="2" t="s">
        <v>111</v>
      </c>
      <c r="D25" s="2" t="s">
        <v>86</v>
      </c>
      <c r="E25" s="2" t="s">
        <v>71</v>
      </c>
      <c r="F25" s="2" t="s">
        <v>9</v>
      </c>
      <c r="G25" s="3">
        <v>46232</v>
      </c>
      <c r="H25" s="6" t="s">
        <v>92</v>
      </c>
      <c r="I25" s="3">
        <v>46232</v>
      </c>
      <c r="J25" s="5">
        <f t="shared" si="0"/>
        <v>2</v>
      </c>
      <c r="K25" s="2" t="s">
        <v>73</v>
      </c>
      <c r="L25" s="6"/>
      <c r="M25" s="7" t="s">
        <v>168</v>
      </c>
    </row>
    <row r="26" spans="1:13" ht="28.5">
      <c r="A26" s="3">
        <v>46214</v>
      </c>
      <c r="B26" s="4" t="s">
        <v>34</v>
      </c>
      <c r="C26" s="2" t="s">
        <v>112</v>
      </c>
      <c r="D26" s="2" t="s">
        <v>86</v>
      </c>
      <c r="E26" s="2" t="s">
        <v>75</v>
      </c>
      <c r="F26" s="2" t="s">
        <v>2</v>
      </c>
      <c r="G26" s="3">
        <v>46216</v>
      </c>
      <c r="H26" s="6" t="s">
        <v>92</v>
      </c>
      <c r="I26" s="3">
        <v>46216</v>
      </c>
      <c r="J26" s="5">
        <f t="shared" si="0"/>
        <v>0</v>
      </c>
      <c r="K26" s="2" t="s">
        <v>73</v>
      </c>
      <c r="L26" s="6"/>
      <c r="M26" s="7" t="s">
        <v>169</v>
      </c>
    </row>
    <row r="27" spans="1:13" ht="28.5">
      <c r="A27" s="3">
        <v>46234</v>
      </c>
      <c r="B27" s="4" t="s">
        <v>35</v>
      </c>
      <c r="C27" s="2" t="s">
        <v>113</v>
      </c>
      <c r="D27" s="2" t="s">
        <v>86</v>
      </c>
      <c r="E27" s="2" t="s">
        <v>75</v>
      </c>
      <c r="F27" s="2" t="s">
        <v>0</v>
      </c>
      <c r="G27" s="3">
        <v>46246</v>
      </c>
      <c r="H27" s="6" t="s">
        <v>114</v>
      </c>
      <c r="I27" s="3">
        <v>46246</v>
      </c>
      <c r="J27" s="5">
        <f t="shared" si="0"/>
        <v>8</v>
      </c>
      <c r="K27" s="2" t="s">
        <v>73</v>
      </c>
      <c r="L27" s="6"/>
      <c r="M27" s="7" t="s">
        <v>170</v>
      </c>
    </row>
    <row r="28" spans="1:13" ht="71.25">
      <c r="A28" s="3">
        <v>46221</v>
      </c>
      <c r="B28" s="4" t="s">
        <v>36</v>
      </c>
      <c r="C28" s="2" t="s">
        <v>115</v>
      </c>
      <c r="D28" s="2" t="s">
        <v>86</v>
      </c>
      <c r="E28" s="2" t="s">
        <v>71</v>
      </c>
      <c r="F28" s="2" t="s">
        <v>1</v>
      </c>
      <c r="G28" s="3">
        <v>46228</v>
      </c>
      <c r="H28" s="6" t="s">
        <v>87</v>
      </c>
      <c r="I28" s="3">
        <v>46228</v>
      </c>
      <c r="J28" s="5">
        <f t="shared" si="0"/>
        <v>4</v>
      </c>
      <c r="K28" s="2" t="s">
        <v>89</v>
      </c>
      <c r="L28" s="6" t="s">
        <v>90</v>
      </c>
      <c r="M28" s="7" t="s">
        <v>171</v>
      </c>
    </row>
    <row r="29" spans="1:13" ht="71.25">
      <c r="A29" s="3">
        <v>46216</v>
      </c>
      <c r="B29" s="4" t="s">
        <v>37</v>
      </c>
      <c r="C29" s="2" t="s">
        <v>116</v>
      </c>
      <c r="D29" s="2" t="s">
        <v>86</v>
      </c>
      <c r="E29" s="2" t="s">
        <v>75</v>
      </c>
      <c r="F29" s="2" t="s">
        <v>8</v>
      </c>
      <c r="G29" s="3">
        <v>46228</v>
      </c>
      <c r="H29" s="6" t="s">
        <v>114</v>
      </c>
      <c r="I29" s="3">
        <v>46228</v>
      </c>
      <c r="J29" s="5">
        <f t="shared" si="0"/>
        <v>9</v>
      </c>
      <c r="K29" s="2" t="s">
        <v>89</v>
      </c>
      <c r="L29" s="6" t="s">
        <v>104</v>
      </c>
      <c r="M29" s="7" t="s">
        <v>172</v>
      </c>
    </row>
    <row r="30" spans="1:13" ht="28.5">
      <c r="A30" s="3">
        <v>46241</v>
      </c>
      <c r="B30" s="4" t="s">
        <v>38</v>
      </c>
      <c r="C30" s="2" t="s">
        <v>117</v>
      </c>
      <c r="D30" s="2" t="s">
        <v>70</v>
      </c>
      <c r="E30" s="2" t="s">
        <v>71</v>
      </c>
      <c r="F30" s="2" t="s">
        <v>8</v>
      </c>
      <c r="G30" s="3">
        <v>46244</v>
      </c>
      <c r="H30" s="6" t="s">
        <v>87</v>
      </c>
      <c r="I30" s="3">
        <v>46244</v>
      </c>
      <c r="J30" s="5">
        <f t="shared" si="0"/>
        <v>1</v>
      </c>
      <c r="K30" s="2" t="s">
        <v>73</v>
      </c>
      <c r="L30" s="6"/>
      <c r="M30" s="7" t="s">
        <v>173</v>
      </c>
    </row>
    <row r="31" spans="1:13" ht="28.5">
      <c r="A31" s="3">
        <v>46230</v>
      </c>
      <c r="B31" s="4" t="s">
        <v>39</v>
      </c>
      <c r="C31" s="2" t="s">
        <v>118</v>
      </c>
      <c r="D31" s="2" t="s">
        <v>70</v>
      </c>
      <c r="E31" s="2" t="s">
        <v>71</v>
      </c>
      <c r="F31" s="2" t="s">
        <v>8</v>
      </c>
      <c r="G31" s="3">
        <v>46234</v>
      </c>
      <c r="H31" s="6" t="s">
        <v>72</v>
      </c>
      <c r="I31" s="3">
        <v>46234</v>
      </c>
      <c r="J31" s="5">
        <f t="shared" si="0"/>
        <v>4</v>
      </c>
      <c r="K31" s="2" t="s">
        <v>73</v>
      </c>
      <c r="L31" s="6"/>
      <c r="M31" s="7" t="s">
        <v>174</v>
      </c>
    </row>
    <row r="32" spans="1:13" ht="71.25">
      <c r="A32" s="3">
        <v>46199</v>
      </c>
      <c r="B32" s="4" t="s">
        <v>40</v>
      </c>
      <c r="C32" s="2" t="s">
        <v>119</v>
      </c>
      <c r="D32" s="2" t="s">
        <v>86</v>
      </c>
      <c r="E32" s="2" t="s">
        <v>75</v>
      </c>
      <c r="F32" s="2" t="s">
        <v>2</v>
      </c>
      <c r="G32" s="3">
        <v>46213</v>
      </c>
      <c r="H32" s="6" t="s">
        <v>114</v>
      </c>
      <c r="I32" s="3">
        <v>46213</v>
      </c>
      <c r="J32" s="5">
        <f t="shared" si="0"/>
        <v>10</v>
      </c>
      <c r="K32" s="2" t="s">
        <v>89</v>
      </c>
      <c r="L32" s="6" t="s">
        <v>120</v>
      </c>
      <c r="M32" s="7" t="s">
        <v>175</v>
      </c>
    </row>
    <row r="33" spans="1:13" ht="28.5">
      <c r="A33" s="3">
        <v>46224</v>
      </c>
      <c r="B33" s="4" t="s">
        <v>41</v>
      </c>
      <c r="C33" s="2" t="s">
        <v>121</v>
      </c>
      <c r="D33" s="2" t="s">
        <v>70</v>
      </c>
      <c r="E33" s="2" t="s">
        <v>75</v>
      </c>
      <c r="F33" s="2" t="s">
        <v>5</v>
      </c>
      <c r="G33" s="3">
        <v>46231</v>
      </c>
      <c r="H33" s="6" t="s">
        <v>82</v>
      </c>
      <c r="I33" s="3">
        <v>46231</v>
      </c>
      <c r="J33" s="5">
        <f t="shared" si="0"/>
        <v>5</v>
      </c>
      <c r="K33" s="2" t="s">
        <v>73</v>
      </c>
      <c r="L33" s="6"/>
      <c r="M33" s="7" t="s">
        <v>176</v>
      </c>
    </row>
    <row r="34" spans="1:13" ht="28.5">
      <c r="A34" s="3">
        <v>46237</v>
      </c>
      <c r="B34" s="4" t="s">
        <v>42</v>
      </c>
      <c r="C34" s="2" t="s">
        <v>122</v>
      </c>
      <c r="D34" s="2" t="s">
        <v>86</v>
      </c>
      <c r="E34" s="2" t="s">
        <v>75</v>
      </c>
      <c r="F34" s="2" t="s">
        <v>3</v>
      </c>
      <c r="G34" s="3">
        <v>46243</v>
      </c>
      <c r="H34" s="6" t="s">
        <v>82</v>
      </c>
      <c r="I34" s="3">
        <v>46243</v>
      </c>
      <c r="J34" s="5">
        <f t="shared" si="0"/>
        <v>4</v>
      </c>
      <c r="K34" s="2" t="s">
        <v>73</v>
      </c>
      <c r="L34" s="6"/>
      <c r="M34" s="7" t="s">
        <v>177</v>
      </c>
    </row>
    <row r="35" spans="1:13" ht="28.5">
      <c r="A35" s="3">
        <v>46211</v>
      </c>
      <c r="B35" s="4" t="s">
        <v>43</v>
      </c>
      <c r="C35" s="2" t="s">
        <v>123</v>
      </c>
      <c r="D35" s="2" t="s">
        <v>70</v>
      </c>
      <c r="E35" s="2" t="s">
        <v>75</v>
      </c>
      <c r="F35" s="2" t="s">
        <v>0</v>
      </c>
      <c r="G35" s="3">
        <v>46223</v>
      </c>
      <c r="H35" s="6" t="s">
        <v>82</v>
      </c>
      <c r="I35" s="3">
        <v>46223</v>
      </c>
      <c r="J35" s="5">
        <f t="shared" si="0"/>
        <v>8</v>
      </c>
      <c r="K35" s="2" t="s">
        <v>73</v>
      </c>
      <c r="L35" s="6"/>
      <c r="M35" s="7" t="s">
        <v>178</v>
      </c>
    </row>
    <row r="36" spans="1:13">
      <c r="A36" s="3"/>
      <c r="B36" s="4"/>
      <c r="C36" s="2"/>
      <c r="D36" s="2"/>
      <c r="E36" s="2"/>
      <c r="F36" s="2"/>
      <c r="G36" s="3"/>
      <c r="H36" s="6"/>
      <c r="I36" s="3"/>
      <c r="J36" s="5" t="str">
        <f t="shared" si="0"/>
        <v/>
      </c>
      <c r="K36" s="2"/>
      <c r="L36" s="6"/>
      <c r="M36" s="7" t="s">
        <v>179</v>
      </c>
    </row>
    <row r="37" spans="1:13" ht="28.5">
      <c r="A37" s="3">
        <v>46239</v>
      </c>
      <c r="B37" s="4" t="s">
        <v>44</v>
      </c>
      <c r="C37" s="2" t="s">
        <v>124</v>
      </c>
      <c r="D37" s="2" t="s">
        <v>86</v>
      </c>
      <c r="E37" s="2" t="s">
        <v>71</v>
      </c>
      <c r="F37" s="2" t="s">
        <v>0</v>
      </c>
      <c r="G37" s="3">
        <v>46252</v>
      </c>
      <c r="H37" s="6" t="s">
        <v>101</v>
      </c>
      <c r="I37" s="3">
        <v>46252</v>
      </c>
      <c r="J37" s="5">
        <f t="shared" si="0"/>
        <v>9</v>
      </c>
      <c r="K37" s="2" t="s">
        <v>73</v>
      </c>
      <c r="L37" s="6"/>
      <c r="M37" s="7" t="s">
        <v>180</v>
      </c>
    </row>
    <row r="38" spans="1:13" ht="28.5">
      <c r="A38" s="3">
        <v>46240</v>
      </c>
      <c r="B38" s="4" t="s">
        <v>45</v>
      </c>
      <c r="C38" s="2" t="s">
        <v>125</v>
      </c>
      <c r="D38" s="2" t="s">
        <v>70</v>
      </c>
      <c r="E38" s="2" t="s">
        <v>75</v>
      </c>
      <c r="F38" s="2" t="s">
        <v>9</v>
      </c>
      <c r="G38" s="3">
        <v>46245</v>
      </c>
      <c r="H38" s="6" t="s">
        <v>84</v>
      </c>
      <c r="I38" s="3"/>
      <c r="J38" s="5" t="str">
        <f t="shared" si="0"/>
        <v/>
      </c>
      <c r="K38" s="2" t="s">
        <v>79</v>
      </c>
      <c r="L38" s="6"/>
      <c r="M38" s="7" t="s">
        <v>181</v>
      </c>
    </row>
    <row r="39" spans="1:13" ht="28.5">
      <c r="A39" s="3">
        <v>46205</v>
      </c>
      <c r="B39" s="4" t="s">
        <v>46</v>
      </c>
      <c r="C39" s="2" t="s">
        <v>126</v>
      </c>
      <c r="D39" s="2" t="s">
        <v>70</v>
      </c>
      <c r="E39" s="2" t="s">
        <v>71</v>
      </c>
      <c r="F39" s="2" t="s">
        <v>7</v>
      </c>
      <c r="G39" s="3">
        <v>46210</v>
      </c>
      <c r="H39" s="6" t="s">
        <v>78</v>
      </c>
      <c r="I39" s="3">
        <v>46210</v>
      </c>
      <c r="J39" s="5">
        <f t="shared" si="0"/>
        <v>3</v>
      </c>
      <c r="K39" s="2" t="s">
        <v>73</v>
      </c>
      <c r="L39" s="6"/>
      <c r="M39" s="7" t="s">
        <v>182</v>
      </c>
    </row>
    <row r="40" spans="1:13" ht="71.25">
      <c r="A40" s="3">
        <v>46231</v>
      </c>
      <c r="B40" s="4" t="s">
        <v>47</v>
      </c>
      <c r="C40" s="2" t="s">
        <v>127</v>
      </c>
      <c r="D40" s="2" t="s">
        <v>70</v>
      </c>
      <c r="E40" s="2" t="s">
        <v>71</v>
      </c>
      <c r="F40" s="2" t="s">
        <v>3</v>
      </c>
      <c r="G40" s="3">
        <v>46240</v>
      </c>
      <c r="H40" s="6" t="s">
        <v>76</v>
      </c>
      <c r="I40" s="3">
        <v>46240</v>
      </c>
      <c r="J40" s="5">
        <f t="shared" si="0"/>
        <v>7</v>
      </c>
      <c r="K40" s="2" t="s">
        <v>89</v>
      </c>
      <c r="L40" s="6" t="s">
        <v>90</v>
      </c>
      <c r="M40" s="7" t="s">
        <v>183</v>
      </c>
    </row>
    <row r="41" spans="1:13" ht="28.5">
      <c r="A41" s="3">
        <v>46206</v>
      </c>
      <c r="B41" s="4" t="s">
        <v>48</v>
      </c>
      <c r="C41" s="2" t="s">
        <v>128</v>
      </c>
      <c r="D41" s="2" t="s">
        <v>86</v>
      </c>
      <c r="E41" s="2" t="s">
        <v>75</v>
      </c>
      <c r="F41" s="2" t="s">
        <v>1</v>
      </c>
      <c r="G41" s="3">
        <v>46215</v>
      </c>
      <c r="H41" s="6" t="s">
        <v>76</v>
      </c>
      <c r="I41" s="3"/>
      <c r="J41" s="5" t="str">
        <f t="shared" si="0"/>
        <v/>
      </c>
      <c r="K41" s="2" t="s">
        <v>93</v>
      </c>
      <c r="L41" s="6"/>
      <c r="M41" s="7" t="s">
        <v>184</v>
      </c>
    </row>
    <row r="42" spans="1:13" ht="28.5">
      <c r="A42" s="3">
        <v>46209</v>
      </c>
      <c r="B42" s="4" t="s">
        <v>49</v>
      </c>
      <c r="C42" s="2" t="s">
        <v>129</v>
      </c>
      <c r="D42" s="2" t="s">
        <v>86</v>
      </c>
      <c r="E42" s="2" t="s">
        <v>71</v>
      </c>
      <c r="F42" s="2" t="s">
        <v>8</v>
      </c>
      <c r="G42" s="3">
        <v>46212</v>
      </c>
      <c r="H42" s="6" t="s">
        <v>106</v>
      </c>
      <c r="I42" s="3">
        <v>46212</v>
      </c>
      <c r="J42" s="5">
        <f t="shared" si="0"/>
        <v>3</v>
      </c>
      <c r="K42" s="2" t="s">
        <v>73</v>
      </c>
      <c r="L42" s="6"/>
      <c r="M42" s="7" t="s">
        <v>185</v>
      </c>
    </row>
    <row r="43" spans="1:13" ht="28.5">
      <c r="A43" s="3">
        <v>46205</v>
      </c>
      <c r="B43" s="4" t="s">
        <v>50</v>
      </c>
      <c r="C43" s="2" t="s">
        <v>130</v>
      </c>
      <c r="D43" s="2" t="s">
        <v>70</v>
      </c>
      <c r="E43" s="2" t="s">
        <v>75</v>
      </c>
      <c r="F43" s="2" t="s">
        <v>6</v>
      </c>
      <c r="G43" s="3">
        <v>46209</v>
      </c>
      <c r="H43" s="6" t="s">
        <v>76</v>
      </c>
      <c r="I43" s="3">
        <v>46209</v>
      </c>
      <c r="J43" s="5">
        <f t="shared" si="0"/>
        <v>2</v>
      </c>
      <c r="K43" s="2" t="s">
        <v>73</v>
      </c>
      <c r="L43" s="6"/>
      <c r="M43" s="7" t="s">
        <v>186</v>
      </c>
    </row>
    <row r="44" spans="1:13" ht="28.5">
      <c r="A44" s="3">
        <v>46217</v>
      </c>
      <c r="B44" s="4" t="s">
        <v>51</v>
      </c>
      <c r="C44" s="2" t="s">
        <v>131</v>
      </c>
      <c r="D44" s="2" t="s">
        <v>86</v>
      </c>
      <c r="E44" s="2" t="s">
        <v>71</v>
      </c>
      <c r="F44" s="2" t="s">
        <v>3</v>
      </c>
      <c r="G44" s="3">
        <v>46225</v>
      </c>
      <c r="H44" s="6" t="s">
        <v>114</v>
      </c>
      <c r="I44" s="3">
        <v>46225</v>
      </c>
      <c r="J44" s="5">
        <f t="shared" si="0"/>
        <v>6</v>
      </c>
      <c r="K44" s="2" t="s">
        <v>73</v>
      </c>
      <c r="L44" s="6"/>
      <c r="M44" s="7" t="s">
        <v>187</v>
      </c>
    </row>
    <row r="45" spans="1:13" ht="28.5">
      <c r="A45" s="3">
        <v>46212</v>
      </c>
      <c r="B45" s="4" t="s">
        <v>52</v>
      </c>
      <c r="C45" s="2" t="s">
        <v>132</v>
      </c>
      <c r="D45" s="2" t="s">
        <v>70</v>
      </c>
      <c r="E45" s="2" t="s">
        <v>75</v>
      </c>
      <c r="F45" s="2" t="s">
        <v>1</v>
      </c>
      <c r="G45" s="3">
        <v>46225</v>
      </c>
      <c r="H45" s="6" t="s">
        <v>84</v>
      </c>
      <c r="I45" s="3">
        <v>46225</v>
      </c>
      <c r="J45" s="5">
        <f t="shared" si="0"/>
        <v>9</v>
      </c>
      <c r="K45" s="2" t="s">
        <v>73</v>
      </c>
      <c r="L45" s="6"/>
      <c r="M45" s="7" t="s">
        <v>188</v>
      </c>
    </row>
    <row r="46" spans="1:13" ht="28.5">
      <c r="A46" s="3">
        <v>46268</v>
      </c>
      <c r="B46" s="4" t="s">
        <v>53</v>
      </c>
      <c r="C46" s="2" t="s">
        <v>133</v>
      </c>
      <c r="D46" s="2" t="s">
        <v>70</v>
      </c>
      <c r="E46" s="2" t="s">
        <v>75</v>
      </c>
      <c r="F46" s="2" t="s">
        <v>0</v>
      </c>
      <c r="G46" s="3">
        <v>46220</v>
      </c>
      <c r="H46" s="6" t="s">
        <v>72</v>
      </c>
      <c r="I46" s="3">
        <v>46220</v>
      </c>
      <c r="J46" s="5">
        <f t="shared" si="0"/>
        <v>-36</v>
      </c>
      <c r="K46" s="2" t="s">
        <v>73</v>
      </c>
      <c r="L46" s="6"/>
      <c r="M46" s="7" t="s">
        <v>189</v>
      </c>
    </row>
    <row r="47" spans="1:13" ht="28.5">
      <c r="A47" s="3">
        <v>46206</v>
      </c>
      <c r="B47" s="4" t="s">
        <v>54</v>
      </c>
      <c r="C47" s="2" t="s">
        <v>134</v>
      </c>
      <c r="D47" s="2" t="s">
        <v>70</v>
      </c>
      <c r="E47" s="2" t="s">
        <v>75</v>
      </c>
      <c r="F47" s="2" t="s">
        <v>7</v>
      </c>
      <c r="G47" s="3"/>
      <c r="H47" s="6" t="s">
        <v>92</v>
      </c>
      <c r="I47" s="3"/>
      <c r="J47" s="5" t="str">
        <f t="shared" si="0"/>
        <v/>
      </c>
      <c r="K47" s="2" t="s">
        <v>79</v>
      </c>
      <c r="L47" s="6"/>
      <c r="M47" s="7" t="s">
        <v>190</v>
      </c>
    </row>
    <row r="48" spans="1:13" ht="28.5">
      <c r="A48" s="3">
        <v>46202</v>
      </c>
      <c r="B48" s="4" t="s">
        <v>55</v>
      </c>
      <c r="C48" s="2" t="s">
        <v>135</v>
      </c>
      <c r="D48" s="2" t="s">
        <v>86</v>
      </c>
      <c r="E48" s="2" t="s">
        <v>71</v>
      </c>
      <c r="F48" s="2" t="s">
        <v>1</v>
      </c>
      <c r="G48" s="3">
        <v>46207</v>
      </c>
      <c r="H48" s="6" t="s">
        <v>78</v>
      </c>
      <c r="I48" s="3"/>
      <c r="J48" s="5" t="str">
        <f t="shared" si="0"/>
        <v/>
      </c>
      <c r="K48" s="2" t="s">
        <v>79</v>
      </c>
      <c r="L48" s="6"/>
      <c r="M48" s="7" t="s">
        <v>191</v>
      </c>
    </row>
    <row r="49" spans="1:13" ht="28.5">
      <c r="A49" s="3">
        <v>46241</v>
      </c>
      <c r="B49" s="4" t="s">
        <v>56</v>
      </c>
      <c r="C49" s="2" t="s">
        <v>136</v>
      </c>
      <c r="D49" s="2" t="s">
        <v>86</v>
      </c>
      <c r="E49" s="2" t="s">
        <v>71</v>
      </c>
      <c r="F49" s="2" t="s">
        <v>2</v>
      </c>
      <c r="G49" s="3">
        <v>46244</v>
      </c>
      <c r="H49" s="6" t="s">
        <v>84</v>
      </c>
      <c r="I49" s="3">
        <v>46244</v>
      </c>
      <c r="J49" s="5">
        <f t="shared" si="0"/>
        <v>1</v>
      </c>
      <c r="K49" s="2" t="s">
        <v>73</v>
      </c>
      <c r="L49" s="6"/>
      <c r="M49" s="7" t="s">
        <v>192</v>
      </c>
    </row>
    <row r="50" spans="1:13" ht="28.5">
      <c r="A50" s="3">
        <v>46199</v>
      </c>
      <c r="B50" s="4" t="s">
        <v>57</v>
      </c>
      <c r="C50" s="2" t="s">
        <v>137</v>
      </c>
      <c r="D50" s="2" t="s">
        <v>70</v>
      </c>
      <c r="E50" s="2" t="s">
        <v>71</v>
      </c>
      <c r="F50" s="2" t="s">
        <v>8</v>
      </c>
      <c r="G50" s="3"/>
      <c r="H50" s="6" t="s">
        <v>114</v>
      </c>
      <c r="I50" s="3"/>
      <c r="J50" s="5" t="str">
        <f t="shared" si="0"/>
        <v/>
      </c>
      <c r="K50" s="2" t="s">
        <v>79</v>
      </c>
      <c r="L50" s="6"/>
      <c r="M50" s="7" t="s">
        <v>193</v>
      </c>
    </row>
    <row r="51" spans="1:13">
      <c r="A51" s="3">
        <v>46218</v>
      </c>
      <c r="B51" s="4" t="s">
        <v>58</v>
      </c>
      <c r="C51" s="2" t="s">
        <v>138</v>
      </c>
      <c r="D51" s="2" t="s">
        <v>70</v>
      </c>
      <c r="E51" s="2"/>
      <c r="F51" s="2"/>
      <c r="G51" s="3"/>
      <c r="H51" s="6"/>
      <c r="I51" s="3"/>
      <c r="J51" s="5" t="str">
        <f t="shared" si="0"/>
        <v/>
      </c>
      <c r="K51" s="2"/>
      <c r="L51" s="6"/>
      <c r="M51" s="7" t="s">
        <v>194</v>
      </c>
    </row>
    <row r="52" spans="1:13">
      <c r="A52" s="3"/>
      <c r="B52" s="4"/>
      <c r="C52" s="2"/>
      <c r="D52" s="2"/>
      <c r="E52" s="2"/>
      <c r="F52" s="2"/>
      <c r="G52" s="3"/>
      <c r="H52" s="6"/>
      <c r="I52" s="3"/>
      <c r="J52" s="5" t="str">
        <f t="shared" si="0"/>
        <v/>
      </c>
      <c r="K52" s="2"/>
      <c r="L52" s="6"/>
      <c r="M52" s="7" t="s">
        <v>195</v>
      </c>
    </row>
    <row r="53" spans="1:13">
      <c r="A53" s="3">
        <v>46208</v>
      </c>
      <c r="B53" s="4" t="s">
        <v>59</v>
      </c>
      <c r="C53" s="2" t="s">
        <v>139</v>
      </c>
      <c r="D53" s="2" t="s">
        <v>86</v>
      </c>
      <c r="E53" s="2"/>
      <c r="F53" s="2"/>
      <c r="G53" s="3"/>
      <c r="H53" s="6"/>
      <c r="I53" s="3"/>
      <c r="J53" s="5" t="str">
        <f t="shared" si="0"/>
        <v/>
      </c>
      <c r="K53" s="2"/>
      <c r="L53" s="6"/>
      <c r="M53" s="7" t="s">
        <v>196</v>
      </c>
    </row>
    <row r="54" spans="1:13">
      <c r="A54" s="3">
        <v>46233</v>
      </c>
      <c r="B54" s="4" t="s">
        <v>60</v>
      </c>
      <c r="C54" s="2" t="s">
        <v>140</v>
      </c>
      <c r="D54" s="2" t="s">
        <v>86</v>
      </c>
      <c r="E54" s="2"/>
      <c r="F54" s="2"/>
      <c r="G54" s="3"/>
      <c r="H54" s="6"/>
      <c r="I54" s="3"/>
      <c r="J54" s="5" t="str">
        <f t="shared" si="0"/>
        <v/>
      </c>
      <c r="K54" s="2"/>
      <c r="L54" s="6"/>
      <c r="M54" s="7" t="s">
        <v>197</v>
      </c>
    </row>
  </sheetData>
  <conditionalFormatting sqref="K2:K54">
    <cfRule type="expression" dxfId="3" priority="1">
      <formula>K2="Completed"</formula>
    </cfRule>
    <cfRule type="expression" dxfId="2" priority="2">
      <formula>K2="Returned"</formula>
    </cfRule>
    <cfRule type="expression" dxfId="1" priority="3">
      <formula>K2="More Information or ID Needed"</formula>
    </cfRule>
    <cfRule type="expression" dxfId="0" priority="4">
      <formula>K2="Referred to Another Team"</formula>
    </cfRule>
  </conditionalFormatting>
  <dataValidations count="4">
    <dataValidation type="list" sqref="D2:D54" xr:uid="{00000000-0002-0000-0200-000000000000}">
      <formula1>"Portal,Paper"</formula1>
    </dataValidation>
    <dataValidation type="list" sqref="E2:E54" xr:uid="{00000000-0002-0000-0200-000001000000}">
      <formula1>"Audit,Change of Auditor"</formula1>
    </dataValidation>
    <dataValidation type="list" sqref="F2:F54" xr:uid="{00000000-0002-0000-0200-000002000000}">
      <formula1>"AB,CD,EF,GH,JK,LM,NP,QR,ST,VW"</formula1>
    </dataValidation>
    <dataValidation type="list" sqref="K2:K54" xr:uid="{00000000-0002-0000-0200-000003000000}">
      <formula1>"Completed,Returned,More Information or ID Needed,Referred to Another Team"</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Audit 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Matthew Iredale</cp:lastModifiedBy>
  <dcterms:created xsi:type="dcterms:W3CDTF">2026-10-20T13:50:10Z</dcterms:created>
  <dcterms:modified xsi:type="dcterms:W3CDTF">2026-10-20T15:10:22Z</dcterms:modified>
</cp:coreProperties>
</file>